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0" windowWidth="16380" windowHeight="8190" tabRatio="500"/>
  </bookViews>
  <sheets>
    <sheet name="Grit Scale" sheetId="1" r:id="rId1"/>
    <sheet name="Calculations" sheetId="3" state="hidden" r:id="rId2"/>
  </sheets>
  <definedNames>
    <definedName name="DataSet">Calculations!$B$2:$M$6</definedName>
    <definedName name="Questionnaire">'Grit Scale'!$D$2:$D$13</definedName>
    <definedName name="QuestionNumber">Calculations!$B$1:$M$1</definedName>
    <definedName name="Responses">Calculations!$A$2:$A$6</definedName>
  </definedNames>
  <calcPr calcId="125725"/>
</workbook>
</file>

<file path=xl/calcChain.xml><?xml version="1.0" encoding="utf-8"?>
<calcChain xmlns="http://schemas.openxmlformats.org/spreadsheetml/2006/main">
  <c r="G4" i="1"/>
  <c r="B10" i="3"/>
  <c r="C10" s="1"/>
  <c r="B11"/>
  <c r="C11" s="1"/>
  <c r="B12"/>
  <c r="B13"/>
  <c r="C13" s="1"/>
  <c r="B14"/>
  <c r="D14" s="1"/>
  <c r="B15"/>
  <c r="C15" s="1"/>
  <c r="B16"/>
  <c r="C16" s="1"/>
  <c r="B17"/>
  <c r="D17" s="1"/>
  <c r="B18"/>
  <c r="D18" s="1"/>
  <c r="B19"/>
  <c r="C19" s="1"/>
  <c r="B20"/>
  <c r="B9"/>
  <c r="D9" s="1"/>
  <c r="D20"/>
  <c r="D12"/>
  <c r="D21" l="1"/>
  <c r="G5" i="1" s="1"/>
  <c r="C21" i="3"/>
  <c r="B21"/>
  <c r="G3" i="1" l="1"/>
  <c r="H3"/>
</calcChain>
</file>

<file path=xl/sharedStrings.xml><?xml version="1.0" encoding="utf-8"?>
<sst xmlns="http://schemas.openxmlformats.org/spreadsheetml/2006/main" count="31" uniqueCount="31">
  <si>
    <t>Questions:</t>
  </si>
  <si>
    <t>Very much like me</t>
  </si>
  <si>
    <t>Not much like me</t>
  </si>
  <si>
    <t>Not like me at all</t>
  </si>
  <si>
    <t>Somewhat like me</t>
  </si>
  <si>
    <t>Mostly like me</t>
  </si>
  <si>
    <t>Percentile:</t>
  </si>
  <si>
    <t>Question</t>
  </si>
  <si>
    <t>Grit</t>
  </si>
  <si>
    <t>Passion</t>
  </si>
  <si>
    <t>Peseverance</t>
  </si>
  <si>
    <t>Grit Score</t>
  </si>
  <si>
    <t>Percentile</t>
  </si>
  <si>
    <t xml:space="preserve">I have overcome setbacks to conquer an important challenge
</t>
  </si>
  <si>
    <t xml:space="preserve">New ideas and projects sometimes distract me from previous ones
</t>
  </si>
  <si>
    <t xml:space="preserve">My interests change from year to year
</t>
  </si>
  <si>
    <t xml:space="preserve">Setbacks don’t discourage me
</t>
  </si>
  <si>
    <t xml:space="preserve">I have been obsessed with a certain idea or project for a short time but later lost interest
</t>
  </si>
  <si>
    <t xml:space="preserve">I am a hard worker
</t>
  </si>
  <si>
    <t xml:space="preserve">I often set a goal but later choose to pursue a different one
</t>
  </si>
  <si>
    <t xml:space="preserve">I have difficulty maintaining my focus on projects that take more than a few months to complete
</t>
  </si>
  <si>
    <t xml:space="preserve">I finish whatever I begin
</t>
  </si>
  <si>
    <t xml:space="preserve">I have achieved a goal that took years of work
</t>
  </si>
  <si>
    <t xml:space="preserve">I become interested in new pursuits every few months
</t>
  </si>
  <si>
    <t xml:space="preserve">I am diligent
</t>
  </si>
  <si>
    <t>Grit:</t>
  </si>
  <si>
    <t>Passion:</t>
  </si>
  <si>
    <t>Perseverance:</t>
  </si>
  <si>
    <t>Your Response:</t>
  </si>
  <si>
    <t>Grit Scale:</t>
  </si>
  <si>
    <t>Select your response to each question from the drop down list - Once you have answered all 12 questions your Grit score will be calculated</t>
  </si>
</sst>
</file>

<file path=xl/styles.xml><?xml version="1.0" encoding="utf-8"?>
<styleSheet xmlns="http://schemas.openxmlformats.org/spreadsheetml/2006/main">
  <numFmts count="1">
    <numFmt numFmtId="164" formatCode="0.0"/>
  </numFmts>
  <fonts count="4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wrapText="1"/>
    </xf>
    <xf numFmtId="0" fontId="1" fillId="2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2" fillId="0" borderId="0" xfId="0" applyFont="1" applyFill="1" applyAlignment="1">
      <alignment vertical="center"/>
    </xf>
    <xf numFmtId="0" fontId="1" fillId="2" borderId="2" xfId="0" applyFont="1" applyFill="1" applyBorder="1" applyAlignment="1">
      <alignment horizontal="left"/>
    </xf>
    <xf numFmtId="0" fontId="0" fillId="2" borderId="3" xfId="0" applyFill="1" applyBorder="1"/>
    <xf numFmtId="0" fontId="1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center"/>
    </xf>
    <xf numFmtId="9" fontId="3" fillId="2" borderId="6" xfId="0" applyNumberFormat="1" applyFont="1" applyFill="1" applyBorder="1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18"/>
  <sheetViews>
    <sheetView tabSelected="1" zoomScaleNormal="100" workbookViewId="0">
      <selection activeCell="D2" sqref="D2"/>
    </sheetView>
  </sheetViews>
  <sheetFormatPr defaultColWidth="11.5703125" defaultRowHeight="12.75"/>
  <cols>
    <col min="1" max="1" width="4.140625" style="8" customWidth="1"/>
    <col min="2" max="2" width="77.140625" style="6" customWidth="1"/>
    <col min="3" max="3" width="11.5703125" style="6"/>
    <col min="4" max="4" width="24" style="6" customWidth="1"/>
    <col min="5" max="5" width="11.5703125" style="6"/>
    <col min="6" max="6" width="13.42578125" style="6" customWidth="1"/>
    <col min="7" max="16384" width="11.5703125" style="6"/>
  </cols>
  <sheetData>
    <row r="1" spans="1:8">
      <c r="A1" s="5" t="s">
        <v>0</v>
      </c>
      <c r="D1" s="7" t="s">
        <v>28</v>
      </c>
    </row>
    <row r="2" spans="1:8" ht="25.5">
      <c r="A2" s="10">
        <v>1</v>
      </c>
      <c r="B2" s="9" t="s">
        <v>13</v>
      </c>
      <c r="D2" s="12"/>
      <c r="F2" s="13" t="s">
        <v>29</v>
      </c>
      <c r="G2" s="14"/>
      <c r="H2" s="15" t="s">
        <v>6</v>
      </c>
    </row>
    <row r="3" spans="1:8" ht="25.5">
      <c r="A3" s="10">
        <v>2</v>
      </c>
      <c r="B3" s="9" t="s">
        <v>14</v>
      </c>
      <c r="D3" s="12"/>
      <c r="F3" s="16" t="s">
        <v>25</v>
      </c>
      <c r="G3" s="17" t="str">
        <f>IF(COUNTIF(Questionnaire,"*")=12,TEXT(Calculations!B21,"0.00"),"-")</f>
        <v>-</v>
      </c>
      <c r="H3" s="18" t="str">
        <f>IF(COUNTIF(Questionnaire,"*")=12,INDEX(Calculations!G9:G19,MATCH(Calculations!B21,Calculations!F9:F19,1),1),"-")</f>
        <v>-</v>
      </c>
    </row>
    <row r="4" spans="1:8" ht="25.5">
      <c r="A4" s="10">
        <v>3</v>
      </c>
      <c r="B4" s="9" t="s">
        <v>15</v>
      </c>
      <c r="D4" s="12"/>
      <c r="F4" s="19" t="s">
        <v>26</v>
      </c>
      <c r="G4" s="17" t="str">
        <f>IF(COUNTIF(Questionnaire,"*")=12,TEXT(Calculations!C21,"0.00"),"-")</f>
        <v>-</v>
      </c>
      <c r="H4" s="20"/>
    </row>
    <row r="5" spans="1:8" ht="25.5">
      <c r="A5" s="10">
        <v>4</v>
      </c>
      <c r="B5" s="9" t="s">
        <v>16</v>
      </c>
      <c r="D5" s="12"/>
      <c r="F5" s="19" t="s">
        <v>27</v>
      </c>
      <c r="G5" s="17" t="str">
        <f>IF(COUNTIF(Questionnaire,"*")=12,TEXT(Calculations!D21,"0.00"),"-")</f>
        <v>-</v>
      </c>
      <c r="H5" s="20"/>
    </row>
    <row r="6" spans="1:8" ht="25.5">
      <c r="A6" s="10">
        <v>5</v>
      </c>
      <c r="B6" s="9" t="s">
        <v>17</v>
      </c>
      <c r="D6" s="12"/>
      <c r="F6" s="21"/>
      <c r="G6" s="22"/>
      <c r="H6" s="23"/>
    </row>
    <row r="7" spans="1:8" ht="25.5">
      <c r="A7" s="10">
        <v>6</v>
      </c>
      <c r="B7" s="9" t="s">
        <v>18</v>
      </c>
      <c r="D7" s="12"/>
    </row>
    <row r="8" spans="1:8" ht="25.5">
      <c r="A8" s="10">
        <v>7</v>
      </c>
      <c r="B8" s="9" t="s">
        <v>19</v>
      </c>
      <c r="D8" s="12"/>
    </row>
    <row r="9" spans="1:8" ht="38.25">
      <c r="A9" s="10">
        <v>8</v>
      </c>
      <c r="B9" s="9" t="s">
        <v>20</v>
      </c>
      <c r="D9" s="12"/>
    </row>
    <row r="10" spans="1:8" ht="25.5">
      <c r="A10" s="10">
        <v>9</v>
      </c>
      <c r="B10" s="9" t="s">
        <v>21</v>
      </c>
      <c r="D10" s="12"/>
    </row>
    <row r="11" spans="1:8" ht="25.5">
      <c r="A11" s="10">
        <v>10</v>
      </c>
      <c r="B11" s="9" t="s">
        <v>22</v>
      </c>
      <c r="D11" s="12"/>
    </row>
    <row r="12" spans="1:8" ht="25.5">
      <c r="A12" s="10">
        <v>11</v>
      </c>
      <c r="B12" s="9" t="s">
        <v>23</v>
      </c>
      <c r="D12" s="12"/>
    </row>
    <row r="13" spans="1:8" ht="25.5">
      <c r="A13" s="10">
        <v>12</v>
      </c>
      <c r="B13" s="9" t="s">
        <v>24</v>
      </c>
      <c r="D13" s="12"/>
    </row>
    <row r="15" spans="1:8">
      <c r="A15" s="7" t="s">
        <v>30</v>
      </c>
    </row>
    <row r="16" spans="1:8">
      <c r="A16" s="6"/>
    </row>
    <row r="17" spans="1:1">
      <c r="A17" s="6"/>
    </row>
    <row r="18" spans="1:1">
      <c r="A18" s="6"/>
    </row>
  </sheetData>
  <dataValidations count="2">
    <dataValidation type="list" operator="equal" allowBlank="1" showErrorMessage="1" sqref="D3:D13">
      <formula1>Calculations!$A$1:$A$6</formula1>
    </dataValidation>
    <dataValidation type="list" operator="equal" allowBlank="1" showErrorMessage="1" sqref="D2">
      <formula1>Calculations!$A$1:$A$6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:M21"/>
  <sheetViews>
    <sheetView workbookViewId="0"/>
  </sheetViews>
  <sheetFormatPr defaultRowHeight="12.75"/>
  <cols>
    <col min="1" max="1" width="16.7109375" bestFit="1" customWidth="1"/>
    <col min="2" max="13" width="11.7109375" customWidth="1"/>
  </cols>
  <sheetData>
    <row r="1" spans="1:1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</row>
    <row r="2" spans="1:13">
      <c r="A2" t="s">
        <v>1</v>
      </c>
      <c r="B2" s="11">
        <v>5</v>
      </c>
      <c r="C2" s="11">
        <v>1</v>
      </c>
      <c r="D2" s="11">
        <v>1</v>
      </c>
      <c r="E2" s="11">
        <v>5</v>
      </c>
      <c r="F2" s="11">
        <v>1</v>
      </c>
      <c r="G2" s="11">
        <v>5</v>
      </c>
      <c r="H2" s="11">
        <v>1</v>
      </c>
      <c r="I2" s="11">
        <v>1</v>
      </c>
      <c r="J2" s="11">
        <v>5</v>
      </c>
      <c r="K2" s="11">
        <v>5</v>
      </c>
      <c r="L2" s="11">
        <v>1</v>
      </c>
      <c r="M2" s="11">
        <v>5</v>
      </c>
    </row>
    <row r="3" spans="1:13">
      <c r="A3" t="s">
        <v>5</v>
      </c>
      <c r="B3" s="11">
        <v>4</v>
      </c>
      <c r="C3" s="11">
        <v>2</v>
      </c>
      <c r="D3" s="11">
        <v>2</v>
      </c>
      <c r="E3" s="11">
        <v>4</v>
      </c>
      <c r="F3" s="11">
        <v>2</v>
      </c>
      <c r="G3" s="11">
        <v>4</v>
      </c>
      <c r="H3" s="11">
        <v>2</v>
      </c>
      <c r="I3" s="11">
        <v>2</v>
      </c>
      <c r="J3" s="11">
        <v>4</v>
      </c>
      <c r="K3" s="11">
        <v>4</v>
      </c>
      <c r="L3" s="11">
        <v>2</v>
      </c>
      <c r="M3" s="11">
        <v>4</v>
      </c>
    </row>
    <row r="4" spans="1:13">
      <c r="A4" t="s">
        <v>4</v>
      </c>
      <c r="B4" s="11">
        <v>3</v>
      </c>
      <c r="C4" s="11">
        <v>3</v>
      </c>
      <c r="D4" s="11">
        <v>3</v>
      </c>
      <c r="E4" s="11">
        <v>3</v>
      </c>
      <c r="F4" s="11">
        <v>3</v>
      </c>
      <c r="G4" s="11">
        <v>3</v>
      </c>
      <c r="H4" s="11">
        <v>3</v>
      </c>
      <c r="I4" s="11">
        <v>3</v>
      </c>
      <c r="J4" s="11">
        <v>3</v>
      </c>
      <c r="K4" s="11">
        <v>3</v>
      </c>
      <c r="L4" s="11">
        <v>3</v>
      </c>
      <c r="M4" s="11">
        <v>3</v>
      </c>
    </row>
    <row r="5" spans="1:13">
      <c r="A5" t="s">
        <v>2</v>
      </c>
      <c r="B5" s="11">
        <v>2</v>
      </c>
      <c r="C5" s="11">
        <v>4</v>
      </c>
      <c r="D5" s="11">
        <v>4</v>
      </c>
      <c r="E5" s="11">
        <v>2</v>
      </c>
      <c r="F5" s="11">
        <v>4</v>
      </c>
      <c r="G5" s="11">
        <v>2</v>
      </c>
      <c r="H5" s="11">
        <v>4</v>
      </c>
      <c r="I5" s="11">
        <v>4</v>
      </c>
      <c r="J5" s="11">
        <v>2</v>
      </c>
      <c r="K5" s="11">
        <v>2</v>
      </c>
      <c r="L5" s="11">
        <v>4</v>
      </c>
      <c r="M5" s="11">
        <v>2</v>
      </c>
    </row>
    <row r="6" spans="1:13">
      <c r="A6" t="s">
        <v>3</v>
      </c>
      <c r="B6" s="11">
        <v>1</v>
      </c>
      <c r="C6" s="11">
        <v>5</v>
      </c>
      <c r="D6" s="11">
        <v>5</v>
      </c>
      <c r="E6" s="11">
        <v>1</v>
      </c>
      <c r="F6" s="11">
        <v>5</v>
      </c>
      <c r="G6" s="11">
        <v>1</v>
      </c>
      <c r="H6" s="11">
        <v>5</v>
      </c>
      <c r="I6" s="11">
        <v>5</v>
      </c>
      <c r="J6" s="11">
        <v>1</v>
      </c>
      <c r="K6" s="11">
        <v>1</v>
      </c>
      <c r="L6" s="11">
        <v>5</v>
      </c>
      <c r="M6" s="11">
        <v>1</v>
      </c>
    </row>
    <row r="8" spans="1:13">
      <c r="A8" t="s">
        <v>7</v>
      </c>
      <c r="B8" s="1" t="s">
        <v>8</v>
      </c>
      <c r="C8" s="1" t="s">
        <v>9</v>
      </c>
      <c r="D8" s="1" t="s">
        <v>10</v>
      </c>
      <c r="E8" s="1"/>
      <c r="F8" s="1" t="s">
        <v>11</v>
      </c>
      <c r="G8" s="1" t="s">
        <v>12</v>
      </c>
    </row>
    <row r="9" spans="1:13">
      <c r="A9">
        <v>1</v>
      </c>
      <c r="B9" s="1">
        <f>IF('Grit Scale'!D2&lt;&gt;"",INDEX(DataSet,MATCH('Grit Scale'!D2,Responses,0),MATCH('Grit Scale'!A2,QuestionNumber,0)),0)</f>
        <v>0</v>
      </c>
      <c r="C9" s="1"/>
      <c r="D9" s="1">
        <f>B9</f>
        <v>0</v>
      </c>
      <c r="F9" s="2">
        <v>2.5</v>
      </c>
      <c r="G9" s="3">
        <v>0.1</v>
      </c>
    </row>
    <row r="10" spans="1:13">
      <c r="A10">
        <v>2</v>
      </c>
      <c r="B10" s="1">
        <f>IF('Grit Scale'!D3&lt;&gt;"",INDEX(DataSet,MATCH('Grit Scale'!D3,Responses,0),MATCH('Grit Scale'!A3,QuestionNumber,0)),0)</f>
        <v>0</v>
      </c>
      <c r="C10" s="1">
        <f>B10</f>
        <v>0</v>
      </c>
      <c r="D10" s="1"/>
      <c r="F10" s="2">
        <v>3</v>
      </c>
      <c r="G10" s="3">
        <v>0.2</v>
      </c>
    </row>
    <row r="11" spans="1:13">
      <c r="A11">
        <v>3</v>
      </c>
      <c r="B11" s="1">
        <f>IF('Grit Scale'!D4&lt;&gt;"",INDEX(DataSet,MATCH('Grit Scale'!D4,Responses,0),MATCH('Grit Scale'!A4,QuestionNumber,0)),0)</f>
        <v>0</v>
      </c>
      <c r="C11" s="1">
        <f>B11</f>
        <v>0</v>
      </c>
      <c r="D11" s="1"/>
      <c r="F11" s="2">
        <v>3.3</v>
      </c>
      <c r="G11" s="3">
        <v>0.3</v>
      </c>
    </row>
    <row r="12" spans="1:13">
      <c r="A12">
        <v>4</v>
      </c>
      <c r="B12" s="1">
        <f>IF('Grit Scale'!D5&lt;&gt;"",INDEX(DataSet,MATCH('Grit Scale'!D5,Responses,0),MATCH('Grit Scale'!A5,QuestionNumber,0)),0)</f>
        <v>0</v>
      </c>
      <c r="C12" s="1"/>
      <c r="D12" s="1">
        <f>B12</f>
        <v>0</v>
      </c>
      <c r="F12" s="2">
        <v>3.5</v>
      </c>
      <c r="G12" s="3">
        <v>0.4</v>
      </c>
    </row>
    <row r="13" spans="1:13">
      <c r="A13">
        <v>5</v>
      </c>
      <c r="B13" s="1">
        <f>IF('Grit Scale'!D6&lt;&gt;"",INDEX(DataSet,MATCH('Grit Scale'!D6,Responses,0),MATCH('Grit Scale'!A6,QuestionNumber,0)),0)</f>
        <v>0</v>
      </c>
      <c r="C13" s="1">
        <f>B13</f>
        <v>0</v>
      </c>
      <c r="D13" s="1"/>
      <c r="F13" s="2">
        <v>3.8</v>
      </c>
      <c r="G13" s="3">
        <v>0.5</v>
      </c>
    </row>
    <row r="14" spans="1:13">
      <c r="A14">
        <v>6</v>
      </c>
      <c r="B14" s="1">
        <f>IF('Grit Scale'!D7&lt;&gt;"",INDEX(DataSet,MATCH('Grit Scale'!D7,Responses,0),MATCH('Grit Scale'!A7,QuestionNumber,0)),0)</f>
        <v>0</v>
      </c>
      <c r="C14" s="1"/>
      <c r="D14" s="1">
        <f>B14</f>
        <v>0</v>
      </c>
      <c r="F14" s="2">
        <v>3.9</v>
      </c>
      <c r="G14" s="3">
        <v>0.6</v>
      </c>
    </row>
    <row r="15" spans="1:13">
      <c r="A15">
        <v>7</v>
      </c>
      <c r="B15" s="1">
        <f>IF('Grit Scale'!D8&lt;&gt;"",INDEX(DataSet,MATCH('Grit Scale'!D8,Responses,0),MATCH('Grit Scale'!A8,QuestionNumber,0)),0)</f>
        <v>0</v>
      </c>
      <c r="C15" s="1">
        <f>B15</f>
        <v>0</v>
      </c>
      <c r="D15" s="1"/>
      <c r="F15" s="2">
        <v>4.0999999999999996</v>
      </c>
      <c r="G15" s="3">
        <v>0.7</v>
      </c>
    </row>
    <row r="16" spans="1:13">
      <c r="A16">
        <v>8</v>
      </c>
      <c r="B16" s="1">
        <f>IF('Grit Scale'!D9&lt;&gt;"",INDEX(DataSet,MATCH('Grit Scale'!D9,Responses,0),MATCH('Grit Scale'!A9,QuestionNumber,0)),0)</f>
        <v>0</v>
      </c>
      <c r="C16" s="1">
        <f>B16</f>
        <v>0</v>
      </c>
      <c r="D16" s="1"/>
      <c r="F16" s="2">
        <v>4.3</v>
      </c>
      <c r="G16" s="3">
        <v>0.8</v>
      </c>
    </row>
    <row r="17" spans="1:7">
      <c r="A17">
        <v>9</v>
      </c>
      <c r="B17" s="1">
        <f>IF('Grit Scale'!D10&lt;&gt;"",INDEX(DataSet,MATCH('Grit Scale'!D10,Responses,0),MATCH('Grit Scale'!A10,QuestionNumber,0)),0)</f>
        <v>0</v>
      </c>
      <c r="C17" s="1"/>
      <c r="D17" s="1">
        <f>B17</f>
        <v>0</v>
      </c>
      <c r="F17" s="2">
        <v>4.5</v>
      </c>
      <c r="G17" s="3">
        <v>0.9</v>
      </c>
    </row>
    <row r="18" spans="1:7">
      <c r="A18">
        <v>10</v>
      </c>
      <c r="B18" s="1">
        <f>IF('Grit Scale'!D11&lt;&gt;"",INDEX(DataSet,MATCH('Grit Scale'!D11,Responses,0),MATCH('Grit Scale'!A11,QuestionNumber,0)),0)</f>
        <v>0</v>
      </c>
      <c r="C18" s="1"/>
      <c r="D18" s="1">
        <f>B18</f>
        <v>0</v>
      </c>
      <c r="F18" s="2">
        <v>4.7</v>
      </c>
      <c r="G18" s="3">
        <v>0.95</v>
      </c>
    </row>
    <row r="19" spans="1:7">
      <c r="A19">
        <v>11</v>
      </c>
      <c r="B19" s="1">
        <f>IF('Grit Scale'!D12&lt;&gt;"",INDEX(DataSet,MATCH('Grit Scale'!D12,Responses,0),MATCH('Grit Scale'!A12,QuestionNumber,0)),0)</f>
        <v>0</v>
      </c>
      <c r="C19" s="1">
        <f>B19</f>
        <v>0</v>
      </c>
      <c r="D19" s="1"/>
      <c r="F19" s="2">
        <v>4.9000000000000004</v>
      </c>
      <c r="G19" s="3">
        <v>0.99</v>
      </c>
    </row>
    <row r="20" spans="1:7">
      <c r="A20">
        <v>12</v>
      </c>
      <c r="B20" s="1">
        <f>IF('Grit Scale'!D13&lt;&gt;"",INDEX(DataSet,MATCH('Grit Scale'!D13,Responses,0),MATCH('Grit Scale'!A13,QuestionNumber,0)),0)</f>
        <v>0</v>
      </c>
      <c r="C20" s="1"/>
      <c r="D20" s="1">
        <f>B20</f>
        <v>0</v>
      </c>
    </row>
    <row r="21" spans="1:7">
      <c r="B21" s="4">
        <f>SUM(B9:B20)/12</f>
        <v>0</v>
      </c>
      <c r="C21" s="4">
        <f>SUM(C9:C20)/6</f>
        <v>0</v>
      </c>
      <c r="D21" s="4">
        <f>SUM(D9:D20)/6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Grit Scale</vt:lpstr>
      <vt:lpstr>Calculations</vt:lpstr>
      <vt:lpstr>DataSet</vt:lpstr>
      <vt:lpstr>Questionnaire</vt:lpstr>
      <vt:lpstr>QuestionNumber</vt:lpstr>
      <vt:lpstr>Responses</vt:lpstr>
    </vt:vector>
  </TitlesOfParts>
  <Company>Mini workgroups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Grit Scale Questionnaire</dc:title>
  <dc:subject>Psychology</dc:subject>
  <dc:creator>Mini workgroups ltd</dc:creator>
  <cp:keywords>grit</cp:keywords>
  <dc:description>www.miniwg.com</dc:description>
  <cp:lastModifiedBy>Mark Halliday</cp:lastModifiedBy>
  <cp:revision>4</cp:revision>
  <dcterms:created xsi:type="dcterms:W3CDTF">2024-08-01T11:50:25Z</dcterms:created>
  <dcterms:modified xsi:type="dcterms:W3CDTF">2024-08-21T16:04:40Z</dcterms:modified>
  <dc:language>en-GB</dc:language>
</cp:coreProperties>
</file>